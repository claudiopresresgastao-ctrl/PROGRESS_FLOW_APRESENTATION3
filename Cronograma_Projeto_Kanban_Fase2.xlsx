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 Evagelista\Desktop\GP\"/>
    </mc:Choice>
  </mc:AlternateContent>
  <xr:revisionPtr revIDLastSave="0" documentId="8_{C18CD9E8-A4DD-4C4B-A208-13B43927EC2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ronograma do Proje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E16" i="1" s="1"/>
  <c r="D14" i="1"/>
  <c r="D13" i="1"/>
  <c r="D12" i="1"/>
  <c r="E10" i="1"/>
  <c r="D10" i="1"/>
  <c r="D8" i="1"/>
  <c r="E8" i="1" s="1"/>
  <c r="D9" i="1" s="1"/>
  <c r="E9" i="1" s="1"/>
  <c r="E11" i="1"/>
  <c r="E12" i="1"/>
  <c r="E13" i="1"/>
  <c r="E15" i="1"/>
  <c r="E17" i="1"/>
  <c r="E14" i="1" s="1"/>
  <c r="E2" i="1"/>
  <c r="D2" i="1"/>
  <c r="D7" i="1"/>
  <c r="D6" i="1"/>
  <c r="E6" i="1"/>
  <c r="E4" i="1"/>
  <c r="D4" i="1"/>
  <c r="E3" i="1"/>
  <c r="E7" i="1"/>
  <c r="E5" i="1"/>
</calcChain>
</file>

<file path=xl/sharedStrings.xml><?xml version="1.0" encoding="utf-8"?>
<sst xmlns="http://schemas.openxmlformats.org/spreadsheetml/2006/main" count="75" uniqueCount="55">
  <si>
    <t>ID</t>
  </si>
  <si>
    <t>Fase / Atividade</t>
  </si>
  <si>
    <t>Responsável</t>
  </si>
  <si>
    <t>Início</t>
  </si>
  <si>
    <t>Término</t>
  </si>
  <si>
    <t>Duração (Dias)</t>
  </si>
  <si>
    <t>Status</t>
  </si>
  <si>
    <t>1.0</t>
  </si>
  <si>
    <t>Iniciação do Projeto</t>
  </si>
  <si>
    <t>Claudio Gastão</t>
  </si>
  <si>
    <t>31/03/2026</t>
  </si>
  <si>
    <t>Concluído</t>
  </si>
  <si>
    <t>1.1</t>
  </si>
  <si>
    <t>Elaboração do TAP</t>
  </si>
  <si>
    <t>Wesley Carvalho</t>
  </si>
  <si>
    <t>1.2</t>
  </si>
  <si>
    <t>Aprovação do TAP</t>
  </si>
  <si>
    <t>Sidney Galeote</t>
  </si>
  <si>
    <t>2.0</t>
  </si>
  <si>
    <t>Planejamento</t>
  </si>
  <si>
    <t>01/04/2026</t>
  </si>
  <si>
    <t>05/05/2026</t>
  </si>
  <si>
    <t>Em Andamento</t>
  </si>
  <si>
    <t>2.1</t>
  </si>
  <si>
    <t>Elaboração da EAP</t>
  </si>
  <si>
    <t>Wesley Lins</t>
  </si>
  <si>
    <t>2.2</t>
  </si>
  <si>
    <t>Matriz de Rastreabilidade</t>
  </si>
  <si>
    <t>2.3</t>
  </si>
  <si>
    <t>Plano de Riscos e Comunicação</t>
  </si>
  <si>
    <t>Vinicius Britto</t>
  </si>
  <si>
    <t>2.4</t>
  </si>
  <si>
    <t>Cronograma Detalhado</t>
  </si>
  <si>
    <t>3.0</t>
  </si>
  <si>
    <t>Execução e Entrega (Figma/MVP)</t>
  </si>
  <si>
    <t>Equipe</t>
  </si>
  <si>
    <t>Iniciando</t>
  </si>
  <si>
    <t>3.1</t>
  </si>
  <si>
    <t>Protótipo de Alta Fidelidade (Figma)</t>
  </si>
  <si>
    <t>Concluído (Entrega Hoje)</t>
  </si>
  <si>
    <t>3.2</t>
  </si>
  <si>
    <t>Refatoração de Componentes</t>
  </si>
  <si>
    <t>Pendente</t>
  </si>
  <si>
    <t>3.3</t>
  </si>
  <si>
    <t>Validação de UI/UX com Cliente</t>
  </si>
  <si>
    <t>Claudio/Wesley</t>
  </si>
  <si>
    <t>4.0</t>
  </si>
  <si>
    <t>Desenvolvimento Técnico e Encerramento</t>
  </si>
  <si>
    <t>16/05/2026</t>
  </si>
  <si>
    <t>4.1</t>
  </si>
  <si>
    <t>Implementação de Banco de Dados</t>
  </si>
  <si>
    <t>4.2</t>
  </si>
  <si>
    <t>Testes Finais e Documentação</t>
  </si>
  <si>
    <t>4.3</t>
  </si>
  <si>
    <t>Encerramento e Lições Aprendidas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</si>
</sst>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17" sqref="E17"/>
    </sheetView>
  </sheetViews>
  <sheetFormatPr defaultRowHeight="14.4" x14ac:dyDescent="0.3"/>
  <cols>
    <col min="2" max="2" width="40" customWidth="1"/>
    <col min="3" max="3" width="20" customWidth="1"/>
    <col min="4" max="5" width="15" customWidth="1"/>
    <col min="6" max="6" width="13.33203125" bestFit="1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tr">
        <f>D3</f>
        <v>31/03/2026</v>
      </c>
      <c r="E2" s="4">
        <f>E4</f>
        <v>46117</v>
      </c>
      <c r="F2" s="2">
        <v>5</v>
      </c>
      <c r="G2" s="2" t="s">
        <v>11</v>
      </c>
    </row>
    <row r="3" spans="1:7" x14ac:dyDescent="0.3">
      <c r="A3" s="3" t="s">
        <v>12</v>
      </c>
      <c r="B3" s="3" t="s">
        <v>13</v>
      </c>
      <c r="C3" s="3" t="s">
        <v>14</v>
      </c>
      <c r="D3" s="3" t="s">
        <v>10</v>
      </c>
      <c r="E3" s="5">
        <f>D3+F3</f>
        <v>46114</v>
      </c>
      <c r="F3" s="3">
        <v>2</v>
      </c>
      <c r="G3" s="3" t="s">
        <v>11</v>
      </c>
    </row>
    <row r="4" spans="1:7" x14ac:dyDescent="0.3">
      <c r="A4" s="3" t="s">
        <v>15</v>
      </c>
      <c r="B4" s="3" t="s">
        <v>16</v>
      </c>
      <c r="C4" s="3" t="s">
        <v>17</v>
      </c>
      <c r="D4" s="6">
        <f>E3+1</f>
        <v>46115</v>
      </c>
      <c r="E4" s="5">
        <f>D4+F4</f>
        <v>46117</v>
      </c>
      <c r="F4" s="3">
        <v>2</v>
      </c>
      <c r="G4" s="3" t="s">
        <v>11</v>
      </c>
    </row>
    <row r="5" spans="1:7" x14ac:dyDescent="0.3">
      <c r="A5" s="2" t="s">
        <v>18</v>
      </c>
      <c r="B5" s="2" t="s">
        <v>19</v>
      </c>
      <c r="C5" s="2" t="s">
        <v>9</v>
      </c>
      <c r="D5" s="2" t="s">
        <v>20</v>
      </c>
      <c r="E5" s="4">
        <f t="shared" ref="E3:E17" si="0">D5+F5</f>
        <v>46147</v>
      </c>
      <c r="F5" s="2">
        <v>34</v>
      </c>
      <c r="G5" s="2" t="s">
        <v>22</v>
      </c>
    </row>
    <row r="6" spans="1:7" x14ac:dyDescent="0.3">
      <c r="A6" s="3" t="s">
        <v>23</v>
      </c>
      <c r="B6" s="3" t="s">
        <v>24</v>
      </c>
      <c r="C6" s="3" t="s">
        <v>25</v>
      </c>
      <c r="D6" s="6">
        <f>E4+1</f>
        <v>46118</v>
      </c>
      <c r="E6" s="5">
        <f t="shared" si="0"/>
        <v>46123</v>
      </c>
      <c r="F6" s="3">
        <v>5</v>
      </c>
      <c r="G6" s="3" t="s">
        <v>11</v>
      </c>
    </row>
    <row r="7" spans="1:7" x14ac:dyDescent="0.3">
      <c r="A7" s="3" t="s">
        <v>26</v>
      </c>
      <c r="B7" s="3" t="s">
        <v>27</v>
      </c>
      <c r="C7" s="3" t="s">
        <v>25</v>
      </c>
      <c r="D7" s="6">
        <f>E6+1</f>
        <v>46124</v>
      </c>
      <c r="E7" s="5">
        <f t="shared" si="0"/>
        <v>46134</v>
      </c>
      <c r="F7" s="3">
        <v>10</v>
      </c>
      <c r="G7" s="3" t="s">
        <v>11</v>
      </c>
    </row>
    <row r="8" spans="1:7" x14ac:dyDescent="0.3">
      <c r="A8" s="3" t="s">
        <v>28</v>
      </c>
      <c r="B8" s="3" t="s">
        <v>29</v>
      </c>
      <c r="C8" s="3" t="s">
        <v>30</v>
      </c>
      <c r="D8" s="6">
        <f t="shared" ref="D8:D9" si="1">E7+1</f>
        <v>46135</v>
      </c>
      <c r="E8" s="5">
        <f t="shared" si="0"/>
        <v>46145</v>
      </c>
      <c r="F8" s="3">
        <v>10</v>
      </c>
      <c r="G8" s="3" t="s">
        <v>11</v>
      </c>
    </row>
    <row r="9" spans="1:7" x14ac:dyDescent="0.3">
      <c r="A9" s="3" t="s">
        <v>31</v>
      </c>
      <c r="B9" s="3" t="s">
        <v>32</v>
      </c>
      <c r="C9" s="3" t="s">
        <v>14</v>
      </c>
      <c r="D9" s="6">
        <f t="shared" si="1"/>
        <v>46146</v>
      </c>
      <c r="E9" s="5">
        <f t="shared" si="0"/>
        <v>46150</v>
      </c>
      <c r="F9" s="3">
        <v>4</v>
      </c>
      <c r="G9" s="3" t="s">
        <v>22</v>
      </c>
    </row>
    <row r="10" spans="1:7" x14ac:dyDescent="0.3">
      <c r="A10" s="2" t="s">
        <v>33</v>
      </c>
      <c r="B10" s="2" t="s">
        <v>34</v>
      </c>
      <c r="C10" s="2" t="s">
        <v>35</v>
      </c>
      <c r="D10" s="2" t="str">
        <f>D11</f>
        <v>05/05/2026</v>
      </c>
      <c r="E10" s="4">
        <f>E13</f>
        <v>46157</v>
      </c>
      <c r="F10" s="2">
        <v>10</v>
      </c>
      <c r="G10" s="2" t="s">
        <v>36</v>
      </c>
    </row>
    <row r="11" spans="1:7" x14ac:dyDescent="0.3">
      <c r="A11" s="3" t="s">
        <v>37</v>
      </c>
      <c r="B11" s="3" t="s">
        <v>38</v>
      </c>
      <c r="C11" s="3" t="s">
        <v>25</v>
      </c>
      <c r="D11" s="7" t="s">
        <v>21</v>
      </c>
      <c r="E11" s="5">
        <f t="shared" si="0"/>
        <v>46147</v>
      </c>
      <c r="F11" s="3">
        <v>0</v>
      </c>
      <c r="G11" s="3" t="s">
        <v>39</v>
      </c>
    </row>
    <row r="12" spans="1:7" x14ac:dyDescent="0.3">
      <c r="A12" s="3" t="s">
        <v>40</v>
      </c>
      <c r="B12" s="3" t="s">
        <v>41</v>
      </c>
      <c r="C12" s="3" t="s">
        <v>30</v>
      </c>
      <c r="D12" s="6">
        <f>E11+1</f>
        <v>46148</v>
      </c>
      <c r="E12" s="5">
        <f t="shared" si="0"/>
        <v>46154</v>
      </c>
      <c r="F12" s="3">
        <v>6</v>
      </c>
      <c r="G12" s="3" t="s">
        <v>42</v>
      </c>
    </row>
    <row r="13" spans="1:7" x14ac:dyDescent="0.3">
      <c r="A13" s="3" t="s">
        <v>43</v>
      </c>
      <c r="B13" s="3" t="s">
        <v>44</v>
      </c>
      <c r="C13" s="3" t="s">
        <v>45</v>
      </c>
      <c r="D13" s="6">
        <f>E12+1</f>
        <v>46155</v>
      </c>
      <c r="E13" s="5">
        <f t="shared" si="0"/>
        <v>46157</v>
      </c>
      <c r="F13" s="3">
        <v>2</v>
      </c>
      <c r="G13" s="3" t="s">
        <v>42</v>
      </c>
    </row>
    <row r="14" spans="1:7" x14ac:dyDescent="0.3">
      <c r="A14" s="2" t="s">
        <v>46</v>
      </c>
      <c r="B14" s="2" t="s">
        <v>47</v>
      </c>
      <c r="C14" s="2" t="s">
        <v>35</v>
      </c>
      <c r="D14" s="2" t="str">
        <f>D15</f>
        <v>16/05/2026</v>
      </c>
      <c r="E14" s="4">
        <f>E17</f>
        <v>46188</v>
      </c>
      <c r="F14" s="2">
        <v>30</v>
      </c>
      <c r="G14" s="2" t="s">
        <v>42</v>
      </c>
    </row>
    <row r="15" spans="1:7" x14ac:dyDescent="0.3">
      <c r="A15" s="3" t="s">
        <v>49</v>
      </c>
      <c r="B15" s="3" t="s">
        <v>50</v>
      </c>
      <c r="C15" s="3" t="s">
        <v>25</v>
      </c>
      <c r="D15" s="7" t="s">
        <v>48</v>
      </c>
      <c r="E15" s="5">
        <f t="shared" si="0"/>
        <v>46172</v>
      </c>
      <c r="F15" s="3">
        <v>14</v>
      </c>
      <c r="G15" s="3" t="s">
        <v>42</v>
      </c>
    </row>
    <row r="16" spans="1:7" x14ac:dyDescent="0.3">
      <c r="A16" s="3" t="s">
        <v>51</v>
      </c>
      <c r="B16" s="3" t="s">
        <v>52</v>
      </c>
      <c r="C16" s="3" t="s">
        <v>9</v>
      </c>
      <c r="D16" s="6">
        <f>E15+1</f>
        <v>46173</v>
      </c>
      <c r="E16" s="5">
        <f t="shared" si="0"/>
        <v>46183</v>
      </c>
      <c r="F16" s="3">
        <v>10</v>
      </c>
      <c r="G16" s="3" t="s">
        <v>42</v>
      </c>
    </row>
    <row r="17" spans="1:7" x14ac:dyDescent="0.3">
      <c r="A17" s="3" t="s">
        <v>53</v>
      </c>
      <c r="B17" s="3" t="s">
        <v>54</v>
      </c>
      <c r="C17" s="3" t="s">
        <v>35</v>
      </c>
      <c r="D17" s="6">
        <f>E16+1</f>
        <v>46184</v>
      </c>
      <c r="E17" s="5">
        <f t="shared" si="0"/>
        <v>46188</v>
      </c>
      <c r="F17" s="3">
        <v>4</v>
      </c>
      <c r="G17" s="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do 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EVANGELISTA CARVALHO</cp:lastModifiedBy>
  <dcterms:created xsi:type="dcterms:W3CDTF">2026-05-05T16:48:26Z</dcterms:created>
  <dcterms:modified xsi:type="dcterms:W3CDTF">2026-05-05T17:44:42Z</dcterms:modified>
</cp:coreProperties>
</file>